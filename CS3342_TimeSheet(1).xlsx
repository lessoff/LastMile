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kniyet/Documents/GitHub/NoU-Turn/"/>
    </mc:Choice>
  </mc:AlternateContent>
  <xr:revisionPtr revIDLastSave="0" documentId="13_ncr:1_{C616958F-80C5-5447-9337-B8ADD16EA3F0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Group Contribution Log" sheetId="1" r:id="rId1"/>
    <sheet name="Weekly Activity Log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" l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R10" i="1"/>
  <c r="P11" i="1"/>
  <c r="R11" i="1"/>
  <c r="P12" i="1"/>
  <c r="R12" i="1"/>
  <c r="P13" i="1"/>
  <c r="R13" i="1"/>
  <c r="P14" i="1"/>
  <c r="R14" i="1"/>
  <c r="P15" i="1"/>
  <c r="R15" i="1"/>
  <c r="R18" i="1"/>
  <c r="S10" i="1"/>
  <c r="U10" i="1"/>
  <c r="S11" i="1"/>
  <c r="U11" i="1"/>
  <c r="S12" i="1"/>
  <c r="U12" i="1"/>
  <c r="S13" i="1"/>
  <c r="U13" i="1"/>
  <c r="S14" i="1"/>
  <c r="U14" i="1"/>
  <c r="S15" i="1"/>
  <c r="U15" i="1"/>
  <c r="U20" i="1"/>
  <c r="U19" i="1"/>
  <c r="U18" i="1"/>
  <c r="Q15" i="1"/>
  <c r="Q14" i="1"/>
  <c r="Q13" i="1"/>
  <c r="Q12" i="1"/>
  <c r="Q11" i="1"/>
  <c r="Q10" i="1"/>
</calcChain>
</file>

<file path=xl/sharedStrings.xml><?xml version="1.0" encoding="utf-8"?>
<sst xmlns="http://schemas.openxmlformats.org/spreadsheetml/2006/main" count="81" uniqueCount="54">
  <si>
    <t xml:space="preserve">Week </t>
  </si>
  <si>
    <t xml:space="preserve">Weekly Activity Log </t>
  </si>
  <si>
    <t>Completed By</t>
  </si>
  <si>
    <t>Week 1</t>
  </si>
  <si>
    <t>Recruit project members. Form the team and discuss project ideas.</t>
  </si>
  <si>
    <t>Week 2</t>
  </si>
  <si>
    <t>Information collection. Research delivery route optimization algorithms and existing solutions.</t>
  </si>
  <si>
    <t>Week 3</t>
  </si>
  <si>
    <t>Topic selection and feasibility analysis. Chose Java CLI route optimizer with TSP heuristics.</t>
  </si>
  <si>
    <t>Week 4</t>
  </si>
  <si>
    <t>Define requirements and core functionality. Identify key features: algorithms, constraints, reporting.</t>
  </si>
  <si>
    <t>Week 5</t>
  </si>
  <si>
    <t>Finalize requirements and use case modeling. Draft use case diagrams for route planning workflow.</t>
  </si>
  <si>
    <t>Week 6</t>
  </si>
  <si>
    <t>Begin use case descriptions. Set up Maven project structure and core data models (DeliveryGraph, Package, Route).</t>
  </si>
  <si>
    <t>Week 7</t>
  </si>
  <si>
    <t>Implement Nearest Neighbor and Greedy Edge algorithms. Design class diagrams and sequence diagrams.</t>
  </si>
  <si>
    <t>Week 8</t>
  </si>
  <si>
    <t>Implement 2-Opt improvement algorithm and Observer pattern (ConsoleLogger, FileLogger, ConstraintChecker).</t>
  </si>
  <si>
    <t>Week 9</t>
  </si>
  <si>
    <t>Implement Template Method for report generation. Finalize class diagrams and sequence diagrams.</t>
  </si>
  <si>
    <t>Week 10</t>
  </si>
  <si>
    <t>Apply design patterns (Strategy, Observer, Template Method). Refine diagrams for pattern integration.</t>
  </si>
  <si>
    <t>Week 11</t>
  </si>
  <si>
    <t>Write JUnit 5 test suite (30+ tests across 8 classes). Begin documentation (README, User Manual).</t>
  </si>
  <si>
    <t>Week 12</t>
  </si>
  <si>
    <t>Finish prototype, build fat JAR with Maven Shade plugin. Complete Installation Guide and documentation.</t>
  </si>
  <si>
    <t>Week 13</t>
  </si>
  <si>
    <t>Prepare presentation slides and finalize report. Demo rehearsal and final review.</t>
  </si>
  <si>
    <t>Course</t>
  </si>
  <si>
    <t>CS3342 Software Design</t>
  </si>
  <si>
    <t>Year</t>
  </si>
  <si>
    <t xml:space="preserve">Project No. </t>
  </si>
  <si>
    <t>Project Name/Title</t>
  </si>
  <si>
    <t>LastMile</t>
  </si>
  <si>
    <t>No. of Team Members</t>
  </si>
  <si>
    <t>Project Manager Name</t>
  </si>
  <si>
    <t>Student ID</t>
  </si>
  <si>
    <t>Name (Last, First)</t>
  </si>
  <si>
    <t>Total</t>
  </si>
  <si>
    <t>Student</t>
  </si>
  <si>
    <t>Relative</t>
  </si>
  <si>
    <t>Contribution</t>
  </si>
  <si>
    <t>e.g.Group Mark</t>
  </si>
  <si>
    <t xml:space="preserve">Final Adjusted </t>
  </si>
  <si>
    <t>Total Effort</t>
  </si>
  <si>
    <t>Max</t>
  </si>
  <si>
    <t>Average</t>
  </si>
  <si>
    <t>Min</t>
  </si>
  <si>
    <t>Lessov Akniyet</t>
  </si>
  <si>
    <t>Bulatov Smadiyar</t>
  </si>
  <si>
    <t>Naumov Iusuf</t>
  </si>
  <si>
    <t>Tursynov Birzhan</t>
  </si>
  <si>
    <t>All team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</si>
</sst>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4"/>
      <color theme="1"/>
      <name val="Calibri"/>
      <scheme val="minor"/>
    </font>
    <font>
      <sz val="16"/>
      <color theme="1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49">
    <xf numFmtId="0" fontId="0" fillId="0" borderId="0" xfId="0"/>
    <xf numFmtId="0" fontId="0" fillId="0" borderId="4" xfId="0" applyBorder="1"/>
    <xf numFmtId="0" fontId="2" fillId="0" borderId="0" xfId="0" applyFont="1" applyAlignment="1">
      <alignment horizontal="center" vertical="center"/>
    </xf>
    <xf numFmtId="0" fontId="0" fillId="2" borderId="0" xfId="0" applyFill="1"/>
    <xf numFmtId="0" fontId="6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7" fillId="0" borderId="0" xfId="0" applyFont="1"/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0" borderId="0" xfId="0" applyFont="1"/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2" fillId="0" borderId="8" xfId="0" applyFont="1" applyBorder="1"/>
    <xf numFmtId="2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2" fontId="11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2" fillId="0" borderId="18" xfId="0" applyFont="1" applyBorder="1"/>
    <xf numFmtId="2" fontId="2" fillId="0" borderId="19" xfId="0" applyNumberFormat="1" applyFont="1" applyBorder="1" applyAlignment="1">
      <alignment horizontal="center" vertical="center"/>
    </xf>
    <xf numFmtId="10" fontId="2" fillId="0" borderId="19" xfId="0" applyNumberFormat="1" applyFont="1" applyBorder="1" applyAlignment="1">
      <alignment horizontal="center" vertical="center"/>
    </xf>
    <xf numFmtId="2" fontId="11" fillId="0" borderId="2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/>
    </xf>
    <xf numFmtId="0" fontId="11" fillId="0" borderId="0" xfId="0" applyFont="1" applyAlignment="1">
      <alignment horizontal="center" vertical="center"/>
    </xf>
    <xf numFmtId="0" fontId="1" fillId="0" borderId="0" xfId="0" applyFont="1"/>
    <xf numFmtId="0" fontId="1" fillId="3" borderId="11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"/>
  <sheetViews>
    <sheetView zoomScaleNormal="100" zoomScalePageLayoutView="125" workbookViewId="0">
      <selection activeCell="D24" sqref="D24"/>
    </sheetView>
  </sheetViews>
  <sheetFormatPr baseColWidth="10" defaultColWidth="8.83203125" defaultRowHeight="16" x14ac:dyDescent="0.2"/>
  <cols>
    <col min="1" max="1" width="24" style="15" bestFit="1" customWidth="1"/>
    <col min="2" max="2" width="24.6640625" style="15" bestFit="1" customWidth="1"/>
    <col min="3" max="16" width="8.83203125" style="15" customWidth="1"/>
    <col min="17" max="17" width="15.33203125" style="15" customWidth="1"/>
    <col min="18" max="18" width="11.83203125" style="15" customWidth="1"/>
    <col min="19" max="19" width="11.1640625" style="15" customWidth="1"/>
    <col min="20" max="20" width="14" style="15" customWidth="1"/>
    <col min="21" max="21" width="12.6640625" style="2" customWidth="1"/>
    <col min="22" max="22" width="8.83203125" style="15" customWidth="1"/>
    <col min="23" max="16384" width="8.83203125" style="15"/>
  </cols>
  <sheetData>
    <row r="1" spans="1:22" x14ac:dyDescent="0.2">
      <c r="A1" s="8" t="s">
        <v>29</v>
      </c>
      <c r="B1" s="8" t="s">
        <v>30</v>
      </c>
    </row>
    <row r="2" spans="1:22" x14ac:dyDescent="0.2">
      <c r="A2" s="8" t="s">
        <v>31</v>
      </c>
      <c r="B2" s="8">
        <v>2026</v>
      </c>
    </row>
    <row r="4" spans="1:22" x14ac:dyDescent="0.2">
      <c r="A4" s="8" t="s">
        <v>32</v>
      </c>
      <c r="B4" s="15">
        <v>26</v>
      </c>
    </row>
    <row r="5" spans="1:22" x14ac:dyDescent="0.2">
      <c r="A5" s="8" t="s">
        <v>33</v>
      </c>
      <c r="B5" s="46" t="s">
        <v>34</v>
      </c>
    </row>
    <row r="6" spans="1:22" x14ac:dyDescent="0.2">
      <c r="A6" s="8" t="s">
        <v>35</v>
      </c>
      <c r="B6" s="16">
        <v>4</v>
      </c>
    </row>
    <row r="7" spans="1:22" x14ac:dyDescent="0.2">
      <c r="A7" s="8" t="s">
        <v>36</v>
      </c>
      <c r="B7" s="46" t="s">
        <v>49</v>
      </c>
    </row>
    <row r="8" spans="1:22" ht="16.5" customHeight="1" thickBot="1" x14ac:dyDescent="0.25"/>
    <row r="9" spans="1:22" x14ac:dyDescent="0.2">
      <c r="A9" s="9" t="s">
        <v>37</v>
      </c>
      <c r="B9" s="10" t="s">
        <v>38</v>
      </c>
      <c r="C9" s="17" t="s">
        <v>3</v>
      </c>
      <c r="D9" s="18" t="s">
        <v>5</v>
      </c>
      <c r="E9" s="18" t="s">
        <v>7</v>
      </c>
      <c r="F9" s="18" t="s">
        <v>9</v>
      </c>
      <c r="G9" s="18" t="s">
        <v>11</v>
      </c>
      <c r="H9" s="18" t="s">
        <v>13</v>
      </c>
      <c r="I9" s="18" t="s">
        <v>15</v>
      </c>
      <c r="J9" s="18" t="s">
        <v>17</v>
      </c>
      <c r="K9" s="18" t="s">
        <v>19</v>
      </c>
      <c r="L9" s="18" t="s">
        <v>21</v>
      </c>
      <c r="M9" s="18" t="s">
        <v>23</v>
      </c>
      <c r="N9" s="18" t="s">
        <v>25</v>
      </c>
      <c r="O9" s="19" t="s">
        <v>27</v>
      </c>
      <c r="P9" s="20" t="s">
        <v>39</v>
      </c>
      <c r="Q9" s="17" t="s">
        <v>40</v>
      </c>
      <c r="R9" s="18" t="s">
        <v>41</v>
      </c>
      <c r="S9" s="18" t="s">
        <v>42</v>
      </c>
      <c r="T9" s="18" t="s">
        <v>43</v>
      </c>
      <c r="U9" s="21" t="s">
        <v>44</v>
      </c>
      <c r="V9" s="2"/>
    </row>
    <row r="10" spans="1:22" x14ac:dyDescent="0.2">
      <c r="A10" s="11"/>
      <c r="B10" s="47" t="s">
        <v>49</v>
      </c>
      <c r="C10" s="22">
        <v>2</v>
      </c>
      <c r="D10" s="5">
        <v>3</v>
      </c>
      <c r="E10" s="5">
        <v>6</v>
      </c>
      <c r="F10" s="5">
        <v>4</v>
      </c>
      <c r="G10" s="5">
        <v>5</v>
      </c>
      <c r="H10" s="23">
        <v>5</v>
      </c>
      <c r="I10" s="5">
        <v>4</v>
      </c>
      <c r="J10" s="5">
        <v>4</v>
      </c>
      <c r="K10" s="5">
        <v>6</v>
      </c>
      <c r="L10" s="5">
        <v>4</v>
      </c>
      <c r="M10" s="5">
        <v>4</v>
      </c>
      <c r="N10" s="23">
        <v>5</v>
      </c>
      <c r="O10" s="23">
        <v>3</v>
      </c>
      <c r="P10" s="24">
        <f t="shared" ref="P10:P15" si="0">SUM(C10:O10)</f>
        <v>55</v>
      </c>
      <c r="Q10" s="25" t="str">
        <f t="shared" ref="Q10:Q15" si="1">B10</f>
        <v>Lessov Akniyet</v>
      </c>
      <c r="R10" s="26">
        <f>(P10/$P$18*$B$6)</f>
        <v>1.5827338129496402</v>
      </c>
      <c r="S10" s="27">
        <f t="shared" ref="S10:S15" si="2">R10/$R$18</f>
        <v>1</v>
      </c>
      <c r="T10" s="26">
        <v>80</v>
      </c>
      <c r="U10" s="28">
        <f t="shared" ref="U10:U15" si="3">S10*T10</f>
        <v>80</v>
      </c>
    </row>
    <row r="11" spans="1:22" x14ac:dyDescent="0.2">
      <c r="A11" s="11"/>
      <c r="B11" s="47" t="s">
        <v>50</v>
      </c>
      <c r="C11" s="29">
        <v>1</v>
      </c>
      <c r="D11" s="5">
        <v>2</v>
      </c>
      <c r="E11" s="5">
        <v>3</v>
      </c>
      <c r="F11" s="5">
        <v>2</v>
      </c>
      <c r="G11" s="5">
        <v>2</v>
      </c>
      <c r="H11" s="23">
        <v>3</v>
      </c>
      <c r="I11" s="5">
        <v>2</v>
      </c>
      <c r="J11" s="5">
        <v>2</v>
      </c>
      <c r="K11" s="5">
        <v>3</v>
      </c>
      <c r="L11" s="5">
        <v>3</v>
      </c>
      <c r="M11" s="5">
        <v>2</v>
      </c>
      <c r="N11" s="23">
        <v>3</v>
      </c>
      <c r="O11" s="23">
        <v>2</v>
      </c>
      <c r="P11" s="24">
        <f t="shared" si="0"/>
        <v>30</v>
      </c>
      <c r="Q11" s="25" t="str">
        <f t="shared" si="1"/>
        <v>Bulatov Smadiyar</v>
      </c>
      <c r="R11" s="26">
        <f>P11/$P$18*$B$6</f>
        <v>0.86330935251798557</v>
      </c>
      <c r="S11" s="27">
        <f t="shared" si="2"/>
        <v>0.54545454545454541</v>
      </c>
      <c r="T11" s="26">
        <v>80</v>
      </c>
      <c r="U11" s="28">
        <f t="shared" si="3"/>
        <v>43.636363636363633</v>
      </c>
    </row>
    <row r="12" spans="1:22" x14ac:dyDescent="0.2">
      <c r="A12" s="11"/>
      <c r="B12" s="47" t="s">
        <v>51</v>
      </c>
      <c r="C12" s="29">
        <v>1</v>
      </c>
      <c r="D12" s="5">
        <v>1</v>
      </c>
      <c r="E12" s="5">
        <v>3</v>
      </c>
      <c r="F12" s="5">
        <v>2</v>
      </c>
      <c r="G12" s="5">
        <v>2</v>
      </c>
      <c r="H12" s="23">
        <v>2</v>
      </c>
      <c r="I12" s="5">
        <v>3</v>
      </c>
      <c r="J12" s="5">
        <v>2</v>
      </c>
      <c r="K12" s="5">
        <v>3</v>
      </c>
      <c r="L12" s="5">
        <v>2</v>
      </c>
      <c r="M12" s="5">
        <v>2</v>
      </c>
      <c r="N12" s="23">
        <v>3</v>
      </c>
      <c r="O12" s="23">
        <v>2</v>
      </c>
      <c r="P12" s="24">
        <f t="shared" si="0"/>
        <v>28</v>
      </c>
      <c r="Q12" s="25" t="str">
        <f t="shared" si="1"/>
        <v>Naumov Iusuf</v>
      </c>
      <c r="R12" s="26">
        <f>P12/$P$18*$B$6</f>
        <v>0.80575539568345322</v>
      </c>
      <c r="S12" s="27">
        <f t="shared" si="2"/>
        <v>0.50909090909090915</v>
      </c>
      <c r="T12" s="26">
        <v>80</v>
      </c>
      <c r="U12" s="28">
        <f t="shared" si="3"/>
        <v>40.727272727272734</v>
      </c>
    </row>
    <row r="13" spans="1:22" x14ac:dyDescent="0.2">
      <c r="A13" s="11"/>
      <c r="B13" s="47" t="s">
        <v>52</v>
      </c>
      <c r="C13" s="29">
        <v>1</v>
      </c>
      <c r="D13" s="5">
        <v>1</v>
      </c>
      <c r="E13" s="5">
        <v>2</v>
      </c>
      <c r="F13" s="5">
        <v>2</v>
      </c>
      <c r="G13" s="5">
        <v>2</v>
      </c>
      <c r="H13" s="23">
        <v>2</v>
      </c>
      <c r="I13" s="5">
        <v>2</v>
      </c>
      <c r="J13" s="5">
        <v>2</v>
      </c>
      <c r="K13" s="5">
        <v>3</v>
      </c>
      <c r="L13" s="5">
        <v>2</v>
      </c>
      <c r="M13" s="5">
        <v>2</v>
      </c>
      <c r="N13" s="23">
        <v>3</v>
      </c>
      <c r="O13" s="23">
        <v>2</v>
      </c>
      <c r="P13" s="24">
        <f t="shared" si="0"/>
        <v>26</v>
      </c>
      <c r="Q13" s="25" t="str">
        <f t="shared" si="1"/>
        <v>Tursynov Birzhan</v>
      </c>
      <c r="R13" s="26">
        <f>P13/$P$18*$B$6</f>
        <v>0.74820143884892087</v>
      </c>
      <c r="S13" s="27">
        <f t="shared" si="2"/>
        <v>0.47272727272727277</v>
      </c>
      <c r="T13" s="26">
        <v>80</v>
      </c>
      <c r="U13" s="28">
        <f t="shared" si="3"/>
        <v>37.81818181818182</v>
      </c>
    </row>
    <row r="14" spans="1:22" x14ac:dyDescent="0.2">
      <c r="A14" s="11"/>
      <c r="B14" s="12"/>
      <c r="C14" s="29"/>
      <c r="D14" s="5"/>
      <c r="E14" s="5"/>
      <c r="F14" s="5"/>
      <c r="G14" s="5"/>
      <c r="H14" s="23"/>
      <c r="I14" s="5"/>
      <c r="J14" s="5"/>
      <c r="K14" s="5"/>
      <c r="L14" s="5"/>
      <c r="M14" s="5"/>
      <c r="N14" s="23"/>
      <c r="O14" s="23"/>
      <c r="P14" s="24">
        <f t="shared" si="0"/>
        <v>0</v>
      </c>
      <c r="Q14" s="25">
        <f t="shared" si="1"/>
        <v>0</v>
      </c>
      <c r="R14" s="26">
        <f>P14/$P$18*$B$6</f>
        <v>0</v>
      </c>
      <c r="S14" s="27">
        <f t="shared" si="2"/>
        <v>0</v>
      </c>
      <c r="T14" s="26">
        <v>80</v>
      </c>
      <c r="U14" s="28">
        <f t="shared" si="3"/>
        <v>0</v>
      </c>
    </row>
    <row r="15" spans="1:22" x14ac:dyDescent="0.2">
      <c r="A15" s="11"/>
      <c r="B15" s="12"/>
      <c r="C15" s="29"/>
      <c r="D15" s="5"/>
      <c r="E15" s="5"/>
      <c r="F15" s="5"/>
      <c r="G15" s="5"/>
      <c r="H15" s="23"/>
      <c r="I15" s="5"/>
      <c r="J15" s="5"/>
      <c r="K15" s="5"/>
      <c r="L15" s="5"/>
      <c r="M15" s="5"/>
      <c r="N15" s="23"/>
      <c r="O15" s="23"/>
      <c r="P15" s="24">
        <f t="shared" si="0"/>
        <v>0</v>
      </c>
      <c r="Q15" s="25">
        <f t="shared" si="1"/>
        <v>0</v>
      </c>
      <c r="R15" s="26">
        <f>P15/$P$18*$B$6</f>
        <v>0</v>
      </c>
      <c r="S15" s="27">
        <f t="shared" si="2"/>
        <v>0</v>
      </c>
      <c r="T15" s="26">
        <v>80</v>
      </c>
      <c r="U15" s="28">
        <f t="shared" si="3"/>
        <v>0</v>
      </c>
    </row>
    <row r="16" spans="1:22" x14ac:dyDescent="0.2">
      <c r="A16" s="11"/>
      <c r="B16" s="12"/>
      <c r="C16" s="29"/>
      <c r="D16" s="5"/>
      <c r="E16" s="5"/>
      <c r="F16" s="5"/>
      <c r="G16" s="5"/>
      <c r="H16" s="23"/>
      <c r="I16" s="5"/>
      <c r="J16" s="5"/>
      <c r="K16" s="5"/>
      <c r="L16" s="5"/>
      <c r="M16" s="5"/>
      <c r="N16" s="23"/>
      <c r="O16" s="23"/>
      <c r="P16" s="24"/>
      <c r="Q16" s="25"/>
      <c r="R16" s="26"/>
      <c r="S16" s="27"/>
      <c r="T16" s="26"/>
      <c r="U16" s="28"/>
    </row>
    <row r="17" spans="1:21" ht="16.5" customHeight="1" thickBot="1" x14ac:dyDescent="0.25">
      <c r="A17" s="13"/>
      <c r="B17" s="14"/>
      <c r="C17" s="30"/>
      <c r="D17" s="31"/>
      <c r="E17" s="31"/>
      <c r="F17" s="31"/>
      <c r="G17" s="31"/>
      <c r="H17" s="32"/>
      <c r="I17" s="31"/>
      <c r="J17" s="31"/>
      <c r="K17" s="31"/>
      <c r="L17" s="31"/>
      <c r="M17" s="31"/>
      <c r="N17" s="32"/>
      <c r="O17" s="32"/>
      <c r="P17" s="33"/>
      <c r="Q17" s="34"/>
      <c r="R17" s="35"/>
      <c r="S17" s="36"/>
      <c r="T17" s="35"/>
      <c r="U17" s="37"/>
    </row>
    <row r="18" spans="1:21" ht="16.5" customHeight="1" thickBot="1" x14ac:dyDescent="0.25">
      <c r="B18" s="38" t="s">
        <v>45</v>
      </c>
      <c r="C18" s="39">
        <f t="shared" ref="C18:O18" si="4">SUM(C10:C17)</f>
        <v>5</v>
      </c>
      <c r="D18" s="40">
        <f t="shared" si="4"/>
        <v>7</v>
      </c>
      <c r="E18" s="40">
        <f t="shared" si="4"/>
        <v>14</v>
      </c>
      <c r="F18" s="40">
        <f t="shared" si="4"/>
        <v>10</v>
      </c>
      <c r="G18" s="40">
        <f t="shared" si="4"/>
        <v>11</v>
      </c>
      <c r="H18" s="40">
        <f t="shared" si="4"/>
        <v>12</v>
      </c>
      <c r="I18" s="40">
        <f t="shared" si="4"/>
        <v>11</v>
      </c>
      <c r="J18" s="40">
        <f t="shared" si="4"/>
        <v>10</v>
      </c>
      <c r="K18" s="40">
        <f t="shared" si="4"/>
        <v>15</v>
      </c>
      <c r="L18" s="40">
        <f t="shared" si="4"/>
        <v>11</v>
      </c>
      <c r="M18" s="40">
        <f t="shared" si="4"/>
        <v>10</v>
      </c>
      <c r="N18" s="40">
        <f t="shared" si="4"/>
        <v>14</v>
      </c>
      <c r="O18" s="41">
        <f t="shared" si="4"/>
        <v>9</v>
      </c>
      <c r="P18" s="42">
        <f>SUM(C18:O18)</f>
        <v>139</v>
      </c>
      <c r="Q18" s="16" t="s">
        <v>46</v>
      </c>
      <c r="R18" s="43">
        <f>MAX(R10:R17)</f>
        <v>1.5827338129496402</v>
      </c>
      <c r="T18" s="44" t="s">
        <v>47</v>
      </c>
      <c r="U18" s="26">
        <f>AVERAGE(U10:U17)</f>
        <v>33.696969696969695</v>
      </c>
    </row>
    <row r="19" spans="1:21" x14ac:dyDescent="0.2">
      <c r="P19" s="45"/>
      <c r="T19" s="44" t="s">
        <v>46</v>
      </c>
      <c r="U19" s="26">
        <f>MAX(U10:U17)</f>
        <v>80</v>
      </c>
    </row>
    <row r="20" spans="1:21" x14ac:dyDescent="0.2">
      <c r="T20" s="44" t="s">
        <v>48</v>
      </c>
      <c r="U20" s="26">
        <f>MIN(U10:U17)</f>
        <v>0</v>
      </c>
    </row>
  </sheetData>
  <pageMargins left="0.7" right="0.7" top="0.75" bottom="0.75" header="0.3" footer="0.3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tabSelected="1" zoomScale="108" zoomScaleNormal="85" workbookViewId="0">
      <selection activeCell="C14" sqref="C14"/>
    </sheetView>
  </sheetViews>
  <sheetFormatPr baseColWidth="10" defaultColWidth="11.5" defaultRowHeight="26.25" customHeight="1" x14ac:dyDescent="0.2"/>
  <cols>
    <col min="1" max="1" width="27" style="1" customWidth="1"/>
    <col min="2" max="2" width="128" style="1" customWidth="1"/>
    <col min="3" max="3" width="31.5" style="1" customWidth="1"/>
  </cols>
  <sheetData>
    <row r="1" spans="1:3" s="3" customFormat="1" ht="26.25" customHeight="1" x14ac:dyDescent="0.2">
      <c r="A1" s="4" t="s">
        <v>0</v>
      </c>
      <c r="B1" s="4" t="s">
        <v>1</v>
      </c>
      <c r="C1" s="4" t="s">
        <v>2</v>
      </c>
    </row>
    <row r="2" spans="1:3" s="2" customFormat="1" ht="26.25" customHeight="1" x14ac:dyDescent="0.2">
      <c r="A2" s="7" t="s">
        <v>3</v>
      </c>
      <c r="B2" s="6" t="s">
        <v>4</v>
      </c>
      <c r="C2" s="48" t="s">
        <v>53</v>
      </c>
    </row>
    <row r="3" spans="1:3" s="2" customFormat="1" ht="26.25" customHeight="1" x14ac:dyDescent="0.2">
      <c r="A3" s="7" t="s">
        <v>5</v>
      </c>
      <c r="B3" s="6" t="s">
        <v>6</v>
      </c>
      <c r="C3" s="48" t="s">
        <v>53</v>
      </c>
    </row>
    <row r="4" spans="1:3" s="2" customFormat="1" ht="26.25" customHeight="1" x14ac:dyDescent="0.2">
      <c r="A4" s="7" t="s">
        <v>7</v>
      </c>
      <c r="B4" s="6" t="s">
        <v>8</v>
      </c>
      <c r="C4" s="5" t="s">
        <v>53</v>
      </c>
    </row>
    <row r="5" spans="1:3" s="2" customFormat="1" ht="26.25" customHeight="1" x14ac:dyDescent="0.2">
      <c r="A5" s="7" t="s">
        <v>9</v>
      </c>
      <c r="B5" s="6" t="s">
        <v>10</v>
      </c>
      <c r="C5" s="5" t="s">
        <v>53</v>
      </c>
    </row>
    <row r="6" spans="1:3" s="2" customFormat="1" ht="26.25" customHeight="1" x14ac:dyDescent="0.2">
      <c r="A6" s="7" t="s">
        <v>11</v>
      </c>
      <c r="B6" s="6" t="s">
        <v>12</v>
      </c>
      <c r="C6" s="5" t="s">
        <v>53</v>
      </c>
    </row>
    <row r="7" spans="1:3" s="2" customFormat="1" ht="26.25" customHeight="1" x14ac:dyDescent="0.2">
      <c r="A7" s="7" t="s">
        <v>13</v>
      </c>
      <c r="B7" s="6" t="s">
        <v>14</v>
      </c>
      <c r="C7" s="5" t="s">
        <v>53</v>
      </c>
    </row>
    <row r="8" spans="1:3" s="2" customFormat="1" ht="26.25" customHeight="1" x14ac:dyDescent="0.2">
      <c r="A8" s="7" t="s">
        <v>15</v>
      </c>
      <c r="B8" s="6" t="s">
        <v>16</v>
      </c>
      <c r="C8" s="5" t="s">
        <v>53</v>
      </c>
    </row>
    <row r="9" spans="1:3" s="2" customFormat="1" ht="26.25" customHeight="1" x14ac:dyDescent="0.2">
      <c r="A9" s="7" t="s">
        <v>17</v>
      </c>
      <c r="B9" s="6" t="s">
        <v>18</v>
      </c>
      <c r="C9" s="5" t="s">
        <v>53</v>
      </c>
    </row>
    <row r="10" spans="1:3" s="2" customFormat="1" ht="26.25" customHeight="1" x14ac:dyDescent="0.2">
      <c r="A10" s="7" t="s">
        <v>19</v>
      </c>
      <c r="B10" s="6" t="s">
        <v>20</v>
      </c>
      <c r="C10" s="5" t="s">
        <v>53</v>
      </c>
    </row>
    <row r="11" spans="1:3" s="2" customFormat="1" ht="26.25" customHeight="1" x14ac:dyDescent="0.2">
      <c r="A11" s="7" t="s">
        <v>21</v>
      </c>
      <c r="B11" s="6" t="s">
        <v>22</v>
      </c>
      <c r="C11" s="5" t="s">
        <v>53</v>
      </c>
    </row>
    <row r="12" spans="1:3" s="2" customFormat="1" ht="26.25" customHeight="1" x14ac:dyDescent="0.2">
      <c r="A12" s="7" t="s">
        <v>23</v>
      </c>
      <c r="B12" s="6" t="s">
        <v>24</v>
      </c>
      <c r="C12" s="5" t="s">
        <v>53</v>
      </c>
    </row>
    <row r="13" spans="1:3" s="2" customFormat="1" ht="26.25" customHeight="1" x14ac:dyDescent="0.2">
      <c r="A13" s="7" t="s">
        <v>25</v>
      </c>
      <c r="B13" s="6" t="s">
        <v>26</v>
      </c>
      <c r="C13" s="5" t="s">
        <v>53</v>
      </c>
    </row>
    <row r="14" spans="1:3" s="2" customFormat="1" ht="26.25" customHeight="1" x14ac:dyDescent="0.2">
      <c r="A14" s="7" t="s">
        <v>27</v>
      </c>
      <c r="B14" s="6" t="s">
        <v>28</v>
      </c>
      <c r="C14" s="5" t="s">
        <v>53</v>
      </c>
    </row>
    <row r="15" spans="1:3" s="2" customFormat="1" ht="26.25" customHeight="1" x14ac:dyDescent="0.2">
      <c r="A15" s="5"/>
      <c r="B15" s="6"/>
      <c r="C15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Contribution Log</vt:lpstr>
      <vt:lpstr>Weekly Activity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W.K. Chan</dc:creator>
  <cp:lastModifiedBy>LESSOV Akniyet</cp:lastModifiedBy>
  <dcterms:created xsi:type="dcterms:W3CDTF">2011-01-05T04:42:14Z</dcterms:created>
  <dcterms:modified xsi:type="dcterms:W3CDTF">2026-04-14T12:59:55Z</dcterms:modified>
</cp:coreProperties>
</file>